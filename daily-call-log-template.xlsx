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Deb.bunhor\Downloads\"/>
    </mc:Choice>
  </mc:AlternateContent>
  <xr:revisionPtr revIDLastSave="0" documentId="13_ncr:1_{E8A979CB-6A4A-418A-8A61-D73341B7C58C}" xr6:coauthVersionLast="47" xr6:coauthVersionMax="47" xr10:uidLastSave="{00000000-0000-0000-0000-000000000000}"/>
  <bookViews>
    <workbookView xWindow="-110" yWindow="-110" windowWidth="19420" windowHeight="10300" xr2:uid="{6647D788-4286-476E-9033-433C6B05286C}"/>
  </bookViews>
  <sheets>
    <sheet name="Daily Call Log " sheetId="2" r:id="rId1"/>
    <sheet name="Config" sheetId="3" r:id="rId2"/>
  </sheets>
  <definedNames>
    <definedName name="_xlnm._FilterDatabase" localSheetId="0" hidden="1">'Daily Call Log '!$I$10:$L$49</definedName>
    <definedName name="_xlnm.Print_Area" localSheetId="1">Config!$A$1:$D$18</definedName>
    <definedName name="_xlnm.Print_Area" localSheetId="0">'Daily Call Log '!$A$1:$M$49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13" i="2" l="1"/>
  <c r="X12" i="2"/>
  <c r="X11" i="2"/>
  <c r="R12" i="2"/>
  <c r="R13" i="2"/>
  <c r="R11" i="2"/>
  <c r="X17" i="2"/>
  <c r="X16" i="2"/>
  <c r="X15" i="2"/>
  <c r="X14" i="2"/>
  <c r="U11" i="2"/>
  <c r="U12" i="2"/>
</calcChain>
</file>

<file path=xl/sharedStrings.xml><?xml version="1.0" encoding="utf-8"?>
<sst xmlns="http://schemas.openxmlformats.org/spreadsheetml/2006/main" count="111" uniqueCount="72">
  <si>
    <t>Did not Convert to Customer</t>
  </si>
  <si>
    <t>Contact Again in Future</t>
  </si>
  <si>
    <t>No</t>
  </si>
  <si>
    <t>Follow Up</t>
  </si>
  <si>
    <t>Yes</t>
  </si>
  <si>
    <t>Set Up Meeting</t>
  </si>
  <si>
    <t>Converted to Customer</t>
  </si>
  <si>
    <t>New Contact</t>
  </si>
  <si>
    <t>Interested</t>
  </si>
  <si>
    <t>NOTES</t>
  </si>
  <si>
    <t>ACTION ITEMS</t>
  </si>
  <si>
    <t>CALL ANSWERED</t>
  </si>
  <si>
    <t>PHONE NO.</t>
  </si>
  <si>
    <t>CLIENT NAME</t>
  </si>
  <si>
    <t>TIME</t>
  </si>
  <si>
    <t>DATE</t>
  </si>
  <si>
    <t>ID</t>
  </si>
  <si>
    <t>CALL LOG</t>
  </si>
  <si>
    <t>Others</t>
  </si>
  <si>
    <t>CALL ANSWERED (Y/N)</t>
  </si>
  <si>
    <t>DAILY CALL LOG CONFIGURATIONS</t>
  </si>
  <si>
    <t>Create Task</t>
  </si>
  <si>
    <t>DEPARTMENT</t>
  </si>
  <si>
    <t>CALL DURATION</t>
  </si>
  <si>
    <t>Null</t>
  </si>
  <si>
    <t>NO.</t>
  </si>
  <si>
    <t>INSTRUCTIONS</t>
  </si>
  <si>
    <t>Add or edit statuses about calls to plan followup calls.</t>
  </si>
  <si>
    <t>Customize this list by editing or adding new statuses to accurately depict the stages of your client engagement. These modifications will be mirrored in the 'Status' dropdown within the main call log sheet, facilitating a nuanced record of client interactions.</t>
  </si>
  <si>
    <t>Customize this list by editing or adding more action items for the call log. These statuses can help in planning the next actions to be taken after call.</t>
  </si>
  <si>
    <t>Sophea</t>
  </si>
  <si>
    <t>Kanika</t>
  </si>
  <si>
    <t>Lily</t>
  </si>
  <si>
    <t>097846532</t>
  </si>
  <si>
    <t>012 345678</t>
  </si>
  <si>
    <t>0767373534</t>
  </si>
  <si>
    <t>Call Center</t>
  </si>
  <si>
    <t>Niseth</t>
  </si>
  <si>
    <t>DOCUMENT STATUS</t>
  </si>
  <si>
    <t>Partial</t>
  </si>
  <si>
    <t>Completed</t>
  </si>
  <si>
    <t>Empty</t>
  </si>
  <si>
    <t xml:space="preserve">                </t>
  </si>
  <si>
    <t xml:space="preserve">       </t>
  </si>
  <si>
    <t>Kama</t>
  </si>
  <si>
    <t>STATUS</t>
  </si>
  <si>
    <t>Meymey</t>
  </si>
  <si>
    <t>0987667534</t>
  </si>
  <si>
    <t>0234567891</t>
  </si>
  <si>
    <t>ACTION</t>
  </si>
  <si>
    <t>Done</t>
  </si>
  <si>
    <t>In Review</t>
  </si>
  <si>
    <t>In Work</t>
  </si>
  <si>
    <t>Block</t>
  </si>
  <si>
    <t>#11FF5B</t>
  </si>
  <si>
    <t>#09C4FF</t>
  </si>
  <si>
    <t>#FFFF29</t>
  </si>
  <si>
    <t>#FF2121</t>
  </si>
  <si>
    <t>STAFF NAME</t>
  </si>
  <si>
    <t>STAFF ID</t>
  </si>
  <si>
    <t xml:space="preserve">Document Follow Up </t>
  </si>
  <si>
    <t>Inform To Sale Team</t>
  </si>
  <si>
    <t>Inprogress</t>
  </si>
  <si>
    <t>Closed</t>
  </si>
  <si>
    <t>Not Start</t>
  </si>
  <si>
    <t>CALL No</t>
  </si>
  <si>
    <t>0787676543</t>
  </si>
  <si>
    <t>0122323245</t>
  </si>
  <si>
    <t>0996767255</t>
  </si>
  <si>
    <t>Hor</t>
  </si>
  <si>
    <t>Hen</t>
  </si>
  <si>
    <t>Ken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</si>
</sst>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13" x14ac:knownFonts="1">
    <font>
      <sz val="11"/>
      <color theme="1"/>
      <name val="Calibri"/>
      <family val="2"/>
      <scheme val="minor"/>
    </font>
    <font>
      <sz val="12"/>
      <color theme="1"/>
      <name val="Century Gothic"/>
      <family val="2"/>
    </font>
    <font>
      <sz val="12"/>
      <color theme="0"/>
      <name val="Century Gothic"/>
      <family val="2"/>
    </font>
    <font>
      <b/>
      <sz val="14"/>
      <color theme="1"/>
      <name val="Century Gothic"/>
      <family val="2"/>
    </font>
    <font>
      <sz val="12"/>
      <color theme="1"/>
      <name val="Calibri"/>
      <family val="2"/>
      <scheme val="minor"/>
    </font>
    <font>
      <b/>
      <sz val="12"/>
      <color theme="1"/>
      <name val="Century Gothic"/>
      <family val="2"/>
    </font>
    <font>
      <sz val="14"/>
      <color theme="1"/>
      <name val="Calibri"/>
      <family val="2"/>
      <scheme val="minor"/>
    </font>
    <font>
      <sz val="14"/>
      <color theme="1"/>
      <name val="Century Gothic"/>
      <family val="2"/>
    </font>
    <font>
      <b/>
      <sz val="36"/>
      <color theme="1"/>
      <name val="Century Gothic"/>
      <family val="2"/>
    </font>
    <font>
      <b/>
      <sz val="36"/>
      <color rgb="FFF3D7CA"/>
      <name val="Century Gothic"/>
      <family val="2"/>
    </font>
    <font>
      <b/>
      <sz val="16"/>
      <color theme="1"/>
      <name val="Century Gothic"/>
      <family val="2"/>
    </font>
    <font>
      <sz val="10"/>
      <color theme="1"/>
      <name val="Century Gothic"/>
      <family val="2"/>
    </font>
    <font>
      <sz val="12"/>
      <name val="Century Gothic"/>
      <family val="2"/>
    </font>
  </fonts>
  <fills count="14">
    <fill>
      <patternFill patternType="none"/>
    </fill>
    <fill>
      <patternFill patternType="gray125"/>
    </fill>
    <fill>
      <patternFill patternType="solid">
        <fgColor rgb="FFF3D7CA"/>
        <bgColor indexed="64"/>
      </patternFill>
    </fill>
    <fill>
      <patternFill patternType="solid">
        <fgColor rgb="FFEBD779"/>
        <bgColor indexed="64"/>
      </patternFill>
    </fill>
    <fill>
      <patternFill patternType="solid">
        <fgColor rgb="FFEEE194"/>
        <bgColor indexed="64"/>
      </patternFill>
    </fill>
    <fill>
      <patternFill patternType="solid">
        <fgColor rgb="FFBFCFE7"/>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rgb="FFFF2121"/>
        <bgColor indexed="64"/>
      </patternFill>
    </fill>
    <fill>
      <patternFill patternType="solid">
        <fgColor rgb="FFFFFF29"/>
        <bgColor indexed="64"/>
      </patternFill>
    </fill>
    <fill>
      <patternFill patternType="solid">
        <fgColor rgb="FF09C4FF"/>
        <bgColor indexed="64"/>
      </patternFill>
    </fill>
    <fill>
      <patternFill patternType="solid">
        <fgColor rgb="FF11FF5B"/>
        <bgColor indexed="64"/>
      </patternFill>
    </fill>
  </fills>
  <borders count="8">
    <border>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
      <left style="thin">
        <color rgb="FFF3D7CA"/>
      </left>
      <right style="thin">
        <color rgb="FFF3D7CA"/>
      </right>
      <top style="thin">
        <color rgb="FFF3D7CA"/>
      </top>
      <bottom style="thin">
        <color rgb="FFF3D7CA"/>
      </bottom>
      <diagonal/>
    </border>
    <border>
      <left style="thin">
        <color theme="0" tint="-0.14999847407452621"/>
      </left>
      <right/>
      <top style="thin">
        <color theme="0" tint="-0.14999847407452621"/>
      </top>
      <bottom style="thin">
        <color theme="0" tint="-0.1499984740745262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5">
    <xf numFmtId="0" fontId="0" fillId="0" borderId="0" xfId="0"/>
    <xf numFmtId="0" fontId="0" fillId="0" borderId="0" xfId="0" applyAlignment="1">
      <alignment horizontal="center" vertical="center"/>
    </xf>
    <xf numFmtId="0" fontId="1" fillId="0" borderId="0" xfId="0" applyFont="1" applyAlignment="1">
      <alignment horizontal="center" vertical="center"/>
    </xf>
    <xf numFmtId="0" fontId="2" fillId="0" borderId="0" xfId="0" applyFont="1" applyAlignment="1">
      <alignment horizontal="center" vertical="center"/>
    </xf>
    <xf numFmtId="0" fontId="4"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7" fillId="0" borderId="0" xfId="0" applyFont="1" applyAlignment="1">
      <alignment horizontal="left" vertical="center"/>
    </xf>
    <xf numFmtId="0" fontId="8" fillId="0" borderId="0" xfId="0" applyFont="1" applyAlignment="1">
      <alignment horizontal="lef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0" xfId="0" applyFont="1" applyAlignment="1">
      <alignment horizontal="left" vertical="center"/>
    </xf>
    <xf numFmtId="0" fontId="3" fillId="2" borderId="3" xfId="0" applyFont="1" applyFill="1" applyBorder="1" applyAlignment="1">
      <alignment horizontal="center" vertical="center"/>
    </xf>
    <xf numFmtId="0" fontId="3" fillId="0" borderId="3" xfId="0" applyFont="1" applyBorder="1" applyAlignment="1">
      <alignment horizontal="center" vertical="center"/>
    </xf>
    <xf numFmtId="164" fontId="7" fillId="0" borderId="3" xfId="0" applyNumberFormat="1" applyFont="1" applyBorder="1" applyAlignment="1">
      <alignment horizontal="center" vertical="center"/>
    </xf>
    <xf numFmtId="0" fontId="1" fillId="0" borderId="3" xfId="0" applyFont="1" applyBorder="1" applyAlignment="1">
      <alignment horizontal="center" vertical="center"/>
    </xf>
    <xf numFmtId="18" fontId="1" fillId="0" borderId="3" xfId="0" applyNumberFormat="1" applyFont="1" applyBorder="1" applyAlignment="1">
      <alignment horizontal="center" vertical="center"/>
    </xf>
    <xf numFmtId="0" fontId="3" fillId="2" borderId="1" xfId="0" applyFont="1" applyFill="1" applyBorder="1" applyAlignment="1">
      <alignment horizontal="center" vertical="center"/>
    </xf>
    <xf numFmtId="0" fontId="9" fillId="0" borderId="0" xfId="0" applyFont="1" applyAlignment="1">
      <alignment vertical="center"/>
    </xf>
    <xf numFmtId="14" fontId="7" fillId="0" borderId="3" xfId="0" applyNumberFormat="1" applyFont="1" applyBorder="1" applyAlignment="1">
      <alignment horizontal="center" vertical="center"/>
    </xf>
    <xf numFmtId="0" fontId="3" fillId="2" borderId="4" xfId="0" applyFont="1" applyFill="1" applyBorder="1" applyAlignment="1">
      <alignment horizontal="center" vertical="center"/>
    </xf>
    <xf numFmtId="0" fontId="1" fillId="0" borderId="1" xfId="0" applyFont="1" applyBorder="1" applyAlignment="1">
      <alignment horizontal="left" vertical="center" indent="1"/>
    </xf>
    <xf numFmtId="0" fontId="1" fillId="0" borderId="2" xfId="0" applyFont="1" applyBorder="1" applyAlignment="1">
      <alignment horizontal="left" vertical="center" indent="1"/>
    </xf>
    <xf numFmtId="0" fontId="5" fillId="3" borderId="0" xfId="0" applyFont="1" applyFill="1" applyAlignment="1">
      <alignment horizontal="center" vertical="center"/>
    </xf>
    <xf numFmtId="0" fontId="11" fillId="0" borderId="0" xfId="0" applyFont="1" applyAlignment="1">
      <alignment vertical="top" wrapText="1"/>
    </xf>
    <xf numFmtId="0" fontId="9" fillId="0" borderId="0" xfId="0" applyFont="1" applyAlignment="1">
      <alignment horizontal="left" vertical="center"/>
    </xf>
    <xf numFmtId="0" fontId="9" fillId="0" borderId="0" xfId="0" applyFont="1" applyAlignment="1">
      <alignment horizontal="left" vertical="center"/>
    </xf>
    <xf numFmtId="0" fontId="11" fillId="4" borderId="0" xfId="0" applyFont="1" applyFill="1" applyAlignment="1">
      <alignment horizontal="left" vertical="top" wrapText="1" indent="1"/>
    </xf>
    <xf numFmtId="0" fontId="10" fillId="0" borderId="0" xfId="0" applyFont="1" applyAlignment="1">
      <alignment horizontal="center" vertical="center"/>
    </xf>
    <xf numFmtId="49" fontId="1" fillId="0" borderId="3" xfId="0" applyNumberFormat="1" applyFont="1" applyBorder="1" applyAlignment="1">
      <alignment horizontal="center" vertical="center"/>
    </xf>
    <xf numFmtId="0" fontId="1" fillId="0" borderId="3" xfId="0" applyFont="1" applyBorder="1" applyAlignment="1">
      <alignment vertical="center"/>
    </xf>
    <xf numFmtId="0" fontId="3" fillId="2" borderId="3" xfId="0" applyFont="1" applyFill="1" applyBorder="1" applyAlignment="1">
      <alignment vertical="center"/>
    </xf>
    <xf numFmtId="0" fontId="3" fillId="0" borderId="0" xfId="0" applyFont="1" applyFill="1" applyBorder="1" applyAlignment="1">
      <alignment vertical="center"/>
    </xf>
    <xf numFmtId="0" fontId="1" fillId="0" borderId="0" xfId="0" applyFont="1" applyFill="1" applyBorder="1" applyAlignment="1">
      <alignment vertical="center"/>
    </xf>
    <xf numFmtId="0" fontId="2" fillId="5" borderId="5" xfId="0" applyFont="1" applyFill="1" applyBorder="1" applyAlignment="1">
      <alignment horizontal="center" vertical="center"/>
    </xf>
    <xf numFmtId="0" fontId="1" fillId="0" borderId="0" xfId="0" applyFont="1" applyFill="1" applyBorder="1" applyAlignment="1">
      <alignment horizontal="center" vertical="center"/>
    </xf>
    <xf numFmtId="0" fontId="1" fillId="6" borderId="5" xfId="0" applyFont="1" applyFill="1" applyBorder="1" applyAlignment="1">
      <alignment vertical="center"/>
    </xf>
    <xf numFmtId="0" fontId="3" fillId="2" borderId="5" xfId="0" applyFont="1" applyFill="1" applyBorder="1" applyAlignment="1">
      <alignment horizontal="center" vertical="center"/>
    </xf>
    <xf numFmtId="0" fontId="3" fillId="0" borderId="0" xfId="0" applyFont="1" applyFill="1" applyBorder="1" applyAlignment="1">
      <alignment horizontal="center" vertical="center"/>
    </xf>
    <xf numFmtId="0" fontId="2" fillId="7" borderId="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1" fillId="8" borderId="5" xfId="0" applyFont="1" applyFill="1" applyBorder="1" applyAlignment="1">
      <alignment vertical="center"/>
    </xf>
    <xf numFmtId="0" fontId="2" fillId="0" borderId="0" xfId="0" applyFont="1" applyFill="1" applyBorder="1" applyAlignment="1">
      <alignment horizontal="center" vertical="center"/>
    </xf>
    <xf numFmtId="0" fontId="1" fillId="9" borderId="5" xfId="0" applyFont="1" applyFill="1" applyBorder="1" applyAlignment="1">
      <alignment vertical="center"/>
    </xf>
    <xf numFmtId="14" fontId="7" fillId="0" borderId="0" xfId="0" applyNumberFormat="1" applyFont="1" applyBorder="1" applyAlignment="1">
      <alignment horizontal="center" vertical="center"/>
    </xf>
    <xf numFmtId="164" fontId="7" fillId="0" borderId="0" xfId="0" applyNumberFormat="1" applyFont="1" applyBorder="1" applyAlignment="1">
      <alignment horizontal="center" vertical="center"/>
    </xf>
    <xf numFmtId="0" fontId="12" fillId="0" borderId="3" xfId="0" applyFont="1" applyBorder="1" applyAlignment="1">
      <alignment horizontal="center" vertical="center"/>
    </xf>
    <xf numFmtId="0" fontId="1" fillId="10" borderId="0" xfId="0" applyFont="1" applyFill="1" applyAlignment="1">
      <alignment horizontal="center" vertical="center"/>
    </xf>
    <xf numFmtId="0" fontId="1" fillId="11" borderId="0" xfId="0" applyFont="1" applyFill="1" applyAlignment="1">
      <alignment horizontal="center" vertical="center"/>
    </xf>
    <xf numFmtId="0" fontId="1" fillId="12" borderId="0" xfId="0" applyFont="1" applyFill="1" applyAlignment="1">
      <alignment horizontal="center" vertical="center"/>
    </xf>
    <xf numFmtId="0" fontId="1" fillId="13" borderId="0" xfId="0" applyFont="1" applyFill="1" applyAlignment="1">
      <alignment horizontal="center" vertical="center"/>
    </xf>
    <xf numFmtId="0" fontId="1" fillId="0" borderId="3" xfId="0" applyNumberFormat="1" applyFont="1" applyBorder="1" applyAlignment="1">
      <alignment horizontal="center" vertical="center"/>
    </xf>
  </cellXfs>
  <cellStyles count="1">
    <cellStyle name="Normal" xfId="0" builtinId="0"/>
  </cellStyles>
  <dxfs count="22">
    <dxf>
      <fill>
        <patternFill>
          <bgColor rgb="FFF1FCA2"/>
        </patternFill>
      </fill>
    </dxf>
    <dxf>
      <fill>
        <patternFill>
          <bgColor rgb="FFE0CCBE"/>
        </patternFill>
      </fill>
    </dxf>
    <dxf>
      <fill>
        <patternFill>
          <bgColor rgb="FFFFC885"/>
        </patternFill>
      </fill>
    </dxf>
    <dxf>
      <fill>
        <patternFill>
          <bgColor rgb="FFC8D6EA"/>
        </patternFill>
      </fill>
    </dxf>
    <dxf>
      <fill>
        <patternFill>
          <bgColor rgb="FFFFE9AB"/>
        </patternFill>
      </fill>
    </dxf>
    <dxf>
      <fill>
        <patternFill>
          <bgColor theme="7" tint="0.39994506668294322"/>
        </patternFill>
      </fill>
    </dxf>
    <dxf>
      <fill>
        <patternFill>
          <bgColor theme="9" tint="0.39994506668294322"/>
        </patternFill>
      </fill>
    </dxf>
    <dxf>
      <fill>
        <patternFill>
          <bgColor theme="7" tint="0.39994506668294322"/>
        </patternFill>
      </fill>
    </dxf>
    <dxf>
      <fill>
        <patternFill>
          <bgColor theme="1" tint="0.499984740745262"/>
        </patternFill>
      </fill>
    </dxf>
    <dxf>
      <fill>
        <patternFill>
          <bgColor rgb="FF11FF5B"/>
        </patternFill>
      </fill>
    </dxf>
    <dxf>
      <fill>
        <patternFill>
          <bgColor rgb="FFFF2121"/>
        </patternFill>
      </fill>
    </dxf>
    <dxf>
      <fill>
        <patternFill>
          <bgColor rgb="FFF1FCA2"/>
        </patternFill>
      </fill>
    </dxf>
    <dxf>
      <fill>
        <patternFill>
          <bgColor rgb="FFE0CCBE"/>
        </patternFill>
      </fill>
    </dxf>
    <dxf>
      <fill>
        <patternFill>
          <bgColor rgb="FFFFC885"/>
        </patternFill>
      </fill>
    </dxf>
    <dxf>
      <fill>
        <patternFill>
          <bgColor rgb="FFC8D6EA"/>
        </patternFill>
      </fill>
    </dxf>
    <dxf>
      <fill>
        <patternFill>
          <bgColor rgb="FFFFE9AB"/>
        </patternFill>
      </fill>
    </dxf>
    <dxf>
      <fill>
        <patternFill>
          <bgColor theme="7" tint="0.39994506668294322"/>
        </patternFill>
      </fill>
    </dxf>
    <dxf>
      <fill>
        <patternFill>
          <bgColor theme="9" tint="0.39994506668294322"/>
        </patternFill>
      </fill>
    </dxf>
    <dxf>
      <fill>
        <patternFill>
          <bgColor theme="7" tint="0.39994506668294322"/>
        </patternFill>
      </fill>
    </dxf>
    <dxf>
      <fill>
        <patternFill>
          <bgColor theme="1" tint="0.499984740745262"/>
        </patternFill>
      </fill>
    </dxf>
    <dxf>
      <fill>
        <patternFill>
          <bgColor rgb="FFE6FFEE"/>
        </patternFill>
      </fill>
    </dxf>
    <dxf>
      <fill>
        <patternFill>
          <bgColor rgb="FFFFE6E6"/>
        </patternFill>
      </fill>
    </dxf>
  </dxfs>
  <tableStyles count="0" defaultTableStyle="TableStyleMedium2" defaultPivotStyle="PivotStyleLight16"/>
  <colors>
    <mruColors>
      <color rgb="FFFF2121"/>
      <color rgb="FF11FF5B"/>
      <color rgb="FF09C4FF"/>
      <color rgb="FFFFFF29"/>
      <color rgb="FFE6FFEE"/>
      <color rgb="FFFFE6E6"/>
      <color rgb="FFFFFFCC"/>
      <color rgb="FFE6F9FF"/>
      <color rgb="FFBFCFE7"/>
      <color rgb="FFF3D7C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Century Gothic" panose="020B0502020202020204" pitchFamily="34" charset="0"/>
                <a:ea typeface="+mn-ea"/>
                <a:cs typeface="+mn-cs"/>
              </a:defRPr>
            </a:pPr>
            <a:r>
              <a:rPr lang="en-GB" b="1">
                <a:latin typeface="Century Gothic" panose="020B0502020202020204" pitchFamily="34" charset="0"/>
              </a:rPr>
              <a:t>ANSWERED</a:t>
            </a:r>
            <a:r>
              <a:rPr lang="en-GB" b="1" baseline="0">
                <a:latin typeface="Century Gothic" panose="020B0502020202020204" pitchFamily="34" charset="0"/>
              </a:rPr>
              <a:t> (Y/N)</a:t>
            </a:r>
            <a:endParaRPr lang="en-GB" b="1">
              <a:latin typeface="Century Gothic" panose="020B0502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entury Gothic" panose="020B0502020202020204" pitchFamily="34" charset="0"/>
              <a:ea typeface="+mn-ea"/>
              <a:cs typeface="+mn-cs"/>
            </a:defRPr>
          </a:pPr>
          <a:endParaRPr lang="en-GB"/>
        </a:p>
      </c:txPr>
    </c:title>
    <c:autoTitleDeleted val="0"/>
    <c:plotArea>
      <c:layout>
        <c:manualLayout>
          <c:layoutTarget val="inner"/>
          <c:xMode val="edge"/>
          <c:yMode val="edge"/>
          <c:x val="4.7464940668824167E-2"/>
          <c:y val="0.21120143765813057"/>
          <c:w val="0.90507011866235165"/>
          <c:h val="0.63836844718734487"/>
        </c:manualLayout>
      </c:layout>
      <c:barChart>
        <c:barDir val="col"/>
        <c:grouping val="stacked"/>
        <c:varyColors val="0"/>
        <c:ser>
          <c:idx val="0"/>
          <c:order val="0"/>
          <c:spPr>
            <a:solidFill>
              <a:srgbClr val="FFE6E6"/>
            </a:solidFill>
            <a:ln>
              <a:noFill/>
            </a:ln>
            <a:effectLst/>
          </c:spPr>
          <c:invertIfNegative val="0"/>
          <c:dPt>
            <c:idx val="0"/>
            <c:invertIfNegative val="0"/>
            <c:bubble3D val="0"/>
            <c:spPr>
              <a:solidFill>
                <a:srgbClr val="11FF5B"/>
              </a:solidFill>
              <a:ln>
                <a:noFill/>
              </a:ln>
              <a:effectLst/>
            </c:spPr>
            <c:extLst>
              <c:ext xmlns:c16="http://schemas.microsoft.com/office/drawing/2014/chart" uri="{C3380CC4-5D6E-409C-BE32-E72D297353CC}">
                <c16:uniqueId val="{00000001-D2F5-4CF6-8D10-E90A973C0400}"/>
              </c:ext>
            </c:extLst>
          </c:dPt>
          <c:dPt>
            <c:idx val="1"/>
            <c:invertIfNegative val="0"/>
            <c:bubble3D val="0"/>
            <c:spPr>
              <a:solidFill>
                <a:srgbClr val="FF2121"/>
              </a:solidFill>
              <a:ln>
                <a:noFill/>
              </a:ln>
              <a:effectLst/>
            </c:spPr>
            <c:extLst>
              <c:ext xmlns:c16="http://schemas.microsoft.com/office/drawing/2014/chart" uri="{C3380CC4-5D6E-409C-BE32-E72D297353CC}">
                <c16:uniqueId val="{00000003-D2F5-4CF6-8D10-E90A973C0400}"/>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Century Gothic" panose="020B0502020202020204" pitchFamily="34" charset="0"/>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1-D2F5-4CF6-8D10-E90A973C040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Century Gothic" panose="020B0502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Config!$C$4:$C$5</c:f>
              <c:strCache>
                <c:ptCount val="2"/>
                <c:pt idx="0">
                  <c:v>Yes</c:v>
                </c:pt>
                <c:pt idx="1">
                  <c:v>No</c:v>
                </c:pt>
              </c:strCache>
            </c:strRef>
          </c:cat>
          <c:val>
            <c:numRef>
              <c:f>'Daily Call Log '!$U$11:$U$12</c:f>
              <c:numCache>
                <c:formatCode>General</c:formatCode>
                <c:ptCount val="2"/>
                <c:pt idx="0">
                  <c:v>4</c:v>
                </c:pt>
                <c:pt idx="1">
                  <c:v>1</c:v>
                </c:pt>
              </c:numCache>
            </c:numRef>
          </c:val>
          <c:extLst>
            <c:ext xmlns:c16="http://schemas.microsoft.com/office/drawing/2014/chart" uri="{C3380CC4-5D6E-409C-BE32-E72D297353CC}">
              <c16:uniqueId val="{00000004-D2F5-4CF6-8D10-E90A973C0400}"/>
            </c:ext>
          </c:extLst>
        </c:ser>
        <c:dLbls>
          <c:showLegendKey val="0"/>
          <c:showVal val="0"/>
          <c:showCatName val="0"/>
          <c:showSerName val="0"/>
          <c:showPercent val="0"/>
          <c:showBubbleSize val="0"/>
        </c:dLbls>
        <c:gapWidth val="150"/>
        <c:overlap val="100"/>
        <c:axId val="913421679"/>
        <c:axId val="997019215"/>
      </c:barChart>
      <c:catAx>
        <c:axId val="913421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mn-ea"/>
                <a:cs typeface="+mn-cs"/>
              </a:defRPr>
            </a:pPr>
            <a:endParaRPr lang="en-US"/>
          </a:p>
        </c:txPr>
        <c:crossAx val="997019215"/>
        <c:crosses val="autoZero"/>
        <c:auto val="1"/>
        <c:lblAlgn val="ctr"/>
        <c:lblOffset val="100"/>
        <c:noMultiLvlLbl val="0"/>
      </c:catAx>
      <c:valAx>
        <c:axId val="997019215"/>
        <c:scaling>
          <c:orientation val="minMax"/>
        </c:scaling>
        <c:delete val="1"/>
        <c:axPos val="l"/>
        <c:numFmt formatCode="General" sourceLinked="1"/>
        <c:majorTickMark val="none"/>
        <c:minorTickMark val="none"/>
        <c:tickLblPos val="nextTo"/>
        <c:crossAx val="913421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latin typeface="Century Gothic" panose="020B0502020202020204" pitchFamily="34" charset="0"/>
              </a:rPr>
              <a:t>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DC8E48"/>
              </a:solidFill>
              <a:ln>
                <a:noFill/>
              </a:ln>
              <a:effectLst/>
            </c:spPr>
          </c:dPt>
          <c:dPt>
            <c:idx val="1"/>
            <c:invertIfNegative val="0"/>
            <c:bubble3D val="0"/>
            <c:spPr>
              <a:solidFill>
                <a:srgbClr val="FEAECD"/>
              </a:solidFill>
              <a:ln>
                <a:noFill/>
              </a:ln>
              <a:effectLst/>
            </c:spPr>
          </c:dPt>
          <c:dPt>
            <c:idx val="2"/>
            <c:invertIfNegative val="0"/>
            <c:bubble3D val="0"/>
            <c:spPr>
              <a:solidFill>
                <a:srgbClr val="737373"/>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entury Gothic" panose="020B0502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Config!$C$8:$C$10</c:f>
              <c:strCache>
                <c:ptCount val="3"/>
                <c:pt idx="0">
                  <c:v>Not Start</c:v>
                </c:pt>
                <c:pt idx="1">
                  <c:v>Inprogress</c:v>
                </c:pt>
                <c:pt idx="2">
                  <c:v>Closed</c:v>
                </c:pt>
              </c:strCache>
            </c:strRef>
          </c:cat>
          <c:val>
            <c:numRef>
              <c:f>'Daily Call Log '!$X$11:$X$13</c:f>
              <c:numCache>
                <c:formatCode>General</c:formatCode>
                <c:ptCount val="3"/>
                <c:pt idx="0">
                  <c:v>4</c:v>
                </c:pt>
                <c:pt idx="1">
                  <c:v>1</c:v>
                </c:pt>
                <c:pt idx="2">
                  <c:v>3</c:v>
                </c:pt>
              </c:numCache>
            </c:numRef>
          </c:val>
          <c:extLst>
            <c:ext xmlns:c16="http://schemas.microsoft.com/office/drawing/2014/chart" uri="{C3380CC4-5D6E-409C-BE32-E72D297353CC}">
              <c16:uniqueId val="{0000000E-6407-46ED-AE7A-DB70FCDABACF}"/>
            </c:ext>
          </c:extLst>
        </c:ser>
        <c:dLbls>
          <c:showLegendKey val="0"/>
          <c:showVal val="0"/>
          <c:showCatName val="0"/>
          <c:showSerName val="0"/>
          <c:showPercent val="0"/>
          <c:showBubbleSize val="0"/>
        </c:dLbls>
        <c:gapWidth val="122"/>
        <c:axId val="916615311"/>
        <c:axId val="1097637775"/>
      </c:barChart>
      <c:catAx>
        <c:axId val="916615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mn-ea"/>
                <a:cs typeface="+mn-cs"/>
              </a:defRPr>
            </a:pPr>
            <a:endParaRPr lang="en-US"/>
          </a:p>
        </c:txPr>
        <c:crossAx val="1097637775"/>
        <c:crosses val="autoZero"/>
        <c:auto val="1"/>
        <c:lblAlgn val="ctr"/>
        <c:lblOffset val="100"/>
        <c:noMultiLvlLbl val="0"/>
      </c:catAx>
      <c:valAx>
        <c:axId val="1097637775"/>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916615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Document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a:outerShdw blurRad="317500" algn="ctr" rotWithShape="0">
                <a:prstClr val="black">
                  <a:alpha val="25000"/>
                </a:prstClr>
              </a:outerShdw>
            </a:effectLst>
          </c:spPr>
          <c:invertIfNegative val="0"/>
          <c:dPt>
            <c:idx val="0"/>
            <c:invertIfNegative val="0"/>
            <c:bubble3D val="0"/>
            <c:spPr>
              <a:solidFill>
                <a:schemeClr val="tx1">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C-C3B1-4725-862B-325A17E430E1}"/>
              </c:ext>
            </c:extLst>
          </c:dPt>
          <c:dPt>
            <c:idx val="1"/>
            <c:invertIfNegative val="0"/>
            <c:bubble3D val="0"/>
            <c:spPr>
              <a:solidFill>
                <a:schemeClr val="accent4">
                  <a:lumMod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C3B1-4725-862B-325A17E430E1}"/>
              </c:ext>
            </c:extLst>
          </c:dPt>
          <c:dPt>
            <c:idx val="2"/>
            <c:invertIfNegative val="0"/>
            <c:bubble3D val="0"/>
            <c:spPr>
              <a:solidFill>
                <a:schemeClr val="accent6">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A-C3B1-4725-862B-325A17E430E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Config!$C$21:$C$23</c:f>
              <c:strCache>
                <c:ptCount val="3"/>
                <c:pt idx="0">
                  <c:v>Empty</c:v>
                </c:pt>
                <c:pt idx="1">
                  <c:v>Partial</c:v>
                </c:pt>
                <c:pt idx="2">
                  <c:v>Completed</c:v>
                </c:pt>
              </c:strCache>
            </c:strRef>
          </c:cat>
          <c:val>
            <c:numRef>
              <c:f>'Daily Call Log '!$R$11:$R$13</c:f>
              <c:numCache>
                <c:formatCode>General</c:formatCode>
                <c:ptCount val="3"/>
                <c:pt idx="0">
                  <c:v>1</c:v>
                </c:pt>
                <c:pt idx="1">
                  <c:v>2</c:v>
                </c:pt>
                <c:pt idx="2">
                  <c:v>2</c:v>
                </c:pt>
              </c:numCache>
            </c:numRef>
          </c:val>
          <c:extLst>
            <c:ext xmlns:c16="http://schemas.microsoft.com/office/drawing/2014/chart" uri="{C3380CC4-5D6E-409C-BE32-E72D297353CC}">
              <c16:uniqueId val="{00000009-C3B1-4725-862B-325A17E430E1}"/>
            </c:ext>
          </c:extLst>
        </c:ser>
        <c:dLbls>
          <c:showLegendKey val="0"/>
          <c:showVal val="0"/>
          <c:showCatName val="0"/>
          <c:showSerName val="0"/>
          <c:showPercent val="0"/>
          <c:showBubbleSize val="0"/>
        </c:dLbls>
        <c:gapWidth val="55"/>
        <c:axId val="796602975"/>
        <c:axId val="796596255"/>
      </c:barChart>
      <c:catAx>
        <c:axId val="796602975"/>
        <c:scaling>
          <c:orientation val="minMax"/>
        </c:scaling>
        <c:delete val="1"/>
        <c:axPos val="b"/>
        <c:numFmt formatCode="General" sourceLinked="1"/>
        <c:majorTickMark val="none"/>
        <c:minorTickMark val="none"/>
        <c:tickLblPos val="nextTo"/>
        <c:crossAx val="796596255"/>
        <c:crosses val="autoZero"/>
        <c:auto val="1"/>
        <c:lblAlgn val="ctr"/>
        <c:lblOffset val="100"/>
        <c:noMultiLvlLbl val="0"/>
      </c:catAx>
      <c:valAx>
        <c:axId val="796596255"/>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796602975"/>
        <c:crosses val="autoZero"/>
        <c:crossBetween val="between"/>
      </c:valAx>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19049</xdr:colOff>
      <xdr:row>1</xdr:row>
      <xdr:rowOff>0</xdr:rowOff>
    </xdr:from>
    <xdr:to>
      <xdr:col>9</xdr:col>
      <xdr:colOff>0</xdr:colOff>
      <xdr:row>7</xdr:row>
      <xdr:rowOff>147637</xdr:rowOff>
    </xdr:to>
    <xdr:graphicFrame macro="">
      <xdr:nvGraphicFramePr>
        <xdr:cNvPr id="2" name="Chart 1">
          <a:extLst>
            <a:ext uri="{FF2B5EF4-FFF2-40B4-BE49-F238E27FC236}">
              <a16:creationId xmlns:a16="http://schemas.microsoft.com/office/drawing/2014/main" id="{9D6919FA-0ACE-4CA7-9F31-78F7C8343F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54680</xdr:colOff>
      <xdr:row>0</xdr:row>
      <xdr:rowOff>301625</xdr:rowOff>
    </xdr:from>
    <xdr:to>
      <xdr:col>12</xdr:col>
      <xdr:colOff>1727200</xdr:colOff>
      <xdr:row>7</xdr:row>
      <xdr:rowOff>155575</xdr:rowOff>
    </xdr:to>
    <xdr:graphicFrame macro="">
      <xdr:nvGraphicFramePr>
        <xdr:cNvPr id="3" name="Chart 2">
          <a:extLst>
            <a:ext uri="{FF2B5EF4-FFF2-40B4-BE49-F238E27FC236}">
              <a16:creationId xmlns:a16="http://schemas.microsoft.com/office/drawing/2014/main" id="{D1091BD3-36FC-4688-BB1A-033C2D34F6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70558</xdr:colOff>
      <xdr:row>0</xdr:row>
      <xdr:rowOff>315382</xdr:rowOff>
    </xdr:from>
    <xdr:to>
      <xdr:col>9</xdr:col>
      <xdr:colOff>2057400</xdr:colOff>
      <xdr:row>7</xdr:row>
      <xdr:rowOff>155221</xdr:rowOff>
    </xdr:to>
    <xdr:graphicFrame macro="">
      <xdr:nvGraphicFramePr>
        <xdr:cNvPr id="6" name="Chart 5">
          <a:extLst>
            <a:ext uri="{FF2B5EF4-FFF2-40B4-BE49-F238E27FC236}">
              <a16:creationId xmlns:a16="http://schemas.microsoft.com/office/drawing/2014/main" id="{520788B3-08E4-AD6E-8C20-35A12346DE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7B110-35FC-4CDB-8235-19F7091BEAC1}">
  <dimension ref="A2:AB49"/>
  <sheetViews>
    <sheetView showGridLines="0" tabSelected="1" zoomScale="50" zoomScaleNormal="50" workbookViewId="0">
      <selection activeCell="J18" sqref="J18"/>
    </sheetView>
  </sheetViews>
  <sheetFormatPr defaultColWidth="9.1796875" defaultRowHeight="25" customHeight="1" x14ac:dyDescent="0.35"/>
  <cols>
    <col min="1" max="1" width="3.26953125" style="2" customWidth="1"/>
    <col min="2" max="2" width="20.6328125" style="2" customWidth="1"/>
    <col min="3" max="3" width="29.7265625" style="2" customWidth="1"/>
    <col min="4" max="4" width="3.36328125" style="2" customWidth="1"/>
    <col min="5" max="7" width="29.7265625" style="2" customWidth="1"/>
    <col min="8" max="8" width="21.36328125" style="2" customWidth="1"/>
    <col min="9" max="12" width="29.7265625" style="2" customWidth="1"/>
    <col min="13" max="13" width="38" style="2" customWidth="1"/>
    <col min="14" max="15" width="25.1796875" style="2" hidden="1" customWidth="1"/>
    <col min="16" max="16" width="16.453125" style="2" customWidth="1"/>
    <col min="17" max="17" width="22.453125" style="2" customWidth="1"/>
    <col min="18" max="18" width="24.81640625" style="2" bestFit="1" customWidth="1"/>
    <col min="19" max="19" width="7" style="2" customWidth="1"/>
    <col min="20" max="20" width="18.08984375" style="2" customWidth="1"/>
    <col min="21" max="21" width="20.7265625" style="2" customWidth="1"/>
    <col min="22" max="22" width="4.7265625" style="2" customWidth="1"/>
    <col min="23" max="28" width="20.7265625" style="2" customWidth="1"/>
    <col min="29" max="16384" width="9.1796875" style="1"/>
  </cols>
  <sheetData>
    <row r="2" spans="1:28" ht="25" customHeight="1" x14ac:dyDescent="0.35">
      <c r="B2" s="27" t="s">
        <v>17</v>
      </c>
      <c r="C2" s="27"/>
      <c r="D2" s="27"/>
      <c r="E2" s="27"/>
      <c r="F2" s="27"/>
      <c r="G2" s="26"/>
      <c r="Q2" s="53" t="s">
        <v>50</v>
      </c>
      <c r="R2" s="53" t="s">
        <v>54</v>
      </c>
    </row>
    <row r="3" spans="1:28" ht="25" customHeight="1" x14ac:dyDescent="0.35">
      <c r="B3" s="27"/>
      <c r="C3" s="27"/>
      <c r="D3" s="27"/>
      <c r="E3" s="27"/>
      <c r="F3" s="27"/>
      <c r="G3" s="26"/>
      <c r="Q3" s="52" t="s">
        <v>51</v>
      </c>
      <c r="R3" s="52" t="s">
        <v>55</v>
      </c>
    </row>
    <row r="4" spans="1:28" ht="25" customHeight="1" x14ac:dyDescent="0.35">
      <c r="B4" s="19"/>
      <c r="C4" s="19"/>
      <c r="D4" s="19"/>
      <c r="E4" s="19"/>
      <c r="F4" s="19"/>
      <c r="G4" s="19"/>
      <c r="Q4" s="51" t="s">
        <v>52</v>
      </c>
      <c r="R4" s="51" t="s">
        <v>56</v>
      </c>
    </row>
    <row r="5" spans="1:28" ht="35.15" customHeight="1" x14ac:dyDescent="0.35">
      <c r="B5" s="13" t="s">
        <v>58</v>
      </c>
      <c r="C5" s="14" t="s">
        <v>37</v>
      </c>
      <c r="D5" s="9"/>
      <c r="E5" s="13" t="s">
        <v>15</v>
      </c>
      <c r="F5" s="20">
        <v>45759</v>
      </c>
      <c r="G5" s="47"/>
      <c r="Q5" s="50" t="s">
        <v>53</v>
      </c>
      <c r="R5" s="50" t="s">
        <v>57</v>
      </c>
    </row>
    <row r="6" spans="1:28" s="4" customFormat="1" ht="25" customHeight="1" x14ac:dyDescent="0.35">
      <c r="A6" s="2"/>
      <c r="B6" s="5"/>
      <c r="C6" s="5"/>
      <c r="D6" s="2"/>
      <c r="E6" s="2"/>
      <c r="F6" s="2"/>
      <c r="G6" s="2"/>
      <c r="H6" s="2"/>
      <c r="I6" s="2"/>
      <c r="J6" s="2"/>
      <c r="K6" s="2"/>
      <c r="L6" s="2"/>
      <c r="M6" s="2"/>
      <c r="N6" s="2" t="s">
        <v>42</v>
      </c>
      <c r="O6" s="2"/>
      <c r="P6" s="2"/>
      <c r="Q6" s="2"/>
      <c r="R6" s="2"/>
      <c r="S6" s="2"/>
      <c r="T6" s="2"/>
      <c r="U6" s="2"/>
      <c r="V6" s="2"/>
      <c r="W6" s="2"/>
      <c r="X6" s="2"/>
      <c r="Y6" s="2"/>
      <c r="Z6" s="2"/>
      <c r="AA6" s="2"/>
      <c r="AB6" s="2"/>
    </row>
    <row r="7" spans="1:28" s="6" customFormat="1" ht="35.15" customHeight="1" x14ac:dyDescent="0.35">
      <c r="A7" s="7"/>
      <c r="B7" s="13" t="s">
        <v>59</v>
      </c>
      <c r="C7" s="14">
        <v>123</v>
      </c>
      <c r="D7" s="8"/>
      <c r="E7" s="13" t="s">
        <v>22</v>
      </c>
      <c r="F7" s="15" t="s">
        <v>36</v>
      </c>
      <c r="G7" s="48"/>
      <c r="H7" s="7"/>
      <c r="I7" s="7"/>
      <c r="J7" s="7"/>
      <c r="K7" s="7"/>
      <c r="L7" s="7"/>
      <c r="M7" s="7"/>
      <c r="N7" s="7"/>
      <c r="O7" s="7"/>
      <c r="P7" s="7"/>
      <c r="Q7" s="7"/>
      <c r="R7" s="7"/>
      <c r="S7" s="7"/>
      <c r="T7" s="7"/>
      <c r="U7" s="7"/>
      <c r="V7" s="7"/>
      <c r="W7" s="7"/>
      <c r="X7" s="7"/>
      <c r="Y7" s="7"/>
      <c r="Z7" s="7"/>
      <c r="AA7" s="7"/>
      <c r="AB7" s="7"/>
    </row>
    <row r="8" spans="1:28" s="4" customFormat="1" ht="25" customHeight="1" x14ac:dyDescent="0.35">
      <c r="A8" s="2"/>
      <c r="B8" s="5"/>
      <c r="C8" s="5"/>
      <c r="D8" s="2"/>
      <c r="E8" s="2"/>
      <c r="F8" s="2"/>
      <c r="G8" s="2"/>
      <c r="H8" s="2"/>
      <c r="I8" s="2"/>
      <c r="J8" s="2"/>
      <c r="K8" s="2"/>
      <c r="L8" s="2"/>
      <c r="M8" s="2"/>
      <c r="N8" s="2"/>
      <c r="O8" s="2"/>
      <c r="P8" s="2"/>
      <c r="Q8" s="2"/>
      <c r="R8" s="2"/>
      <c r="S8" s="2"/>
      <c r="T8" s="2"/>
      <c r="U8" s="2"/>
      <c r="V8" s="2"/>
      <c r="W8" s="2"/>
      <c r="X8" s="2"/>
      <c r="Y8" s="2"/>
      <c r="Z8" s="2"/>
      <c r="AA8" s="2"/>
      <c r="AB8" s="2"/>
    </row>
    <row r="9" spans="1:28" s="4" customFormat="1" ht="25" customHeight="1" x14ac:dyDescent="0.35">
      <c r="A9" s="2"/>
      <c r="B9" s="2"/>
      <c r="C9" s="2"/>
      <c r="D9" s="2"/>
      <c r="E9" s="2"/>
      <c r="F9" s="2"/>
      <c r="G9" s="2"/>
      <c r="H9" s="2"/>
      <c r="I9" s="2"/>
      <c r="J9" s="2" t="s">
        <v>43</v>
      </c>
      <c r="K9" s="2"/>
      <c r="L9" s="2"/>
      <c r="M9" s="2"/>
      <c r="N9" s="2"/>
      <c r="O9" s="2"/>
      <c r="P9" s="2"/>
      <c r="Q9" s="2"/>
      <c r="R9" s="2"/>
      <c r="S9" s="2"/>
      <c r="T9" s="2"/>
      <c r="U9" s="2"/>
      <c r="V9" s="2"/>
      <c r="W9" s="2"/>
      <c r="X9" s="2"/>
      <c r="Y9" s="2"/>
      <c r="Z9" s="2"/>
      <c r="AA9" s="2"/>
      <c r="AB9" s="2"/>
    </row>
    <row r="10" spans="1:28" ht="35.15" customHeight="1" x14ac:dyDescent="0.35">
      <c r="B10" s="13" t="s">
        <v>16</v>
      </c>
      <c r="C10" s="13" t="s">
        <v>13</v>
      </c>
      <c r="D10" s="13"/>
      <c r="E10" s="13" t="s">
        <v>12</v>
      </c>
      <c r="F10" s="13" t="s">
        <v>14</v>
      </c>
      <c r="G10" s="13" t="s">
        <v>23</v>
      </c>
      <c r="H10" s="13" t="s">
        <v>65</v>
      </c>
      <c r="I10" s="13" t="s">
        <v>11</v>
      </c>
      <c r="J10" s="13" t="s">
        <v>38</v>
      </c>
      <c r="K10" s="13" t="s">
        <v>49</v>
      </c>
      <c r="L10" s="13" t="s">
        <v>45</v>
      </c>
      <c r="M10" s="32" t="s">
        <v>9</v>
      </c>
      <c r="N10" s="33"/>
      <c r="O10" s="33"/>
      <c r="P10" s="33"/>
      <c r="Q10" s="42" t="s">
        <v>38</v>
      </c>
      <c r="R10" s="43"/>
      <c r="S10" s="39"/>
      <c r="T10" s="41" t="s">
        <v>11</v>
      </c>
      <c r="U10" s="41"/>
      <c r="V10" s="39"/>
      <c r="W10" s="39"/>
      <c r="X10" s="38" t="s">
        <v>45</v>
      </c>
    </row>
    <row r="11" spans="1:28" ht="30" customHeight="1" x14ac:dyDescent="0.35">
      <c r="B11" s="16">
        <v>1</v>
      </c>
      <c r="C11" s="16" t="s">
        <v>30</v>
      </c>
      <c r="D11" s="16"/>
      <c r="E11" s="30" t="s">
        <v>33</v>
      </c>
      <c r="F11" s="17">
        <v>0.375</v>
      </c>
      <c r="G11" s="17"/>
      <c r="H11" s="54">
        <v>1</v>
      </c>
      <c r="I11" s="49" t="s">
        <v>4</v>
      </c>
      <c r="J11" s="16" t="s">
        <v>39</v>
      </c>
      <c r="K11" s="16" t="s">
        <v>60</v>
      </c>
      <c r="L11" s="16" t="s">
        <v>62</v>
      </c>
      <c r="M11" s="31"/>
      <c r="N11" s="34"/>
      <c r="O11" s="34"/>
      <c r="P11" s="34"/>
      <c r="Q11" s="46" t="s">
        <v>41</v>
      </c>
      <c r="R11" s="37">
        <f>COUNTIF(J11:J49,"Empty")</f>
        <v>1</v>
      </c>
      <c r="S11" s="34"/>
      <c r="T11" s="44" t="s">
        <v>4</v>
      </c>
      <c r="U11" s="40">
        <f>COUNTIF(I11:I49,"Yes")</f>
        <v>4</v>
      </c>
      <c r="V11" s="45"/>
      <c r="W11" s="45"/>
      <c r="X11" s="35">
        <f>COUNTIF(L11:L49,"Inprogress")</f>
        <v>4</v>
      </c>
      <c r="Y11" s="3" t="s">
        <v>8</v>
      </c>
      <c r="Z11" s="3"/>
    </row>
    <row r="12" spans="1:28" ht="30" customHeight="1" x14ac:dyDescent="0.35">
      <c r="B12" s="16">
        <v>2</v>
      </c>
      <c r="C12" s="16" t="s">
        <v>31</v>
      </c>
      <c r="D12" s="16"/>
      <c r="E12" s="30" t="s">
        <v>34</v>
      </c>
      <c r="F12" s="17">
        <v>0.4375</v>
      </c>
      <c r="G12" s="17"/>
      <c r="H12" s="54">
        <v>1</v>
      </c>
      <c r="I12" s="49" t="s">
        <v>4</v>
      </c>
      <c r="J12" s="16" t="s">
        <v>39</v>
      </c>
      <c r="K12" s="16" t="s">
        <v>60</v>
      </c>
      <c r="L12" s="16" t="s">
        <v>62</v>
      </c>
      <c r="M12" s="31"/>
      <c r="N12" s="34"/>
      <c r="O12" s="34"/>
      <c r="P12" s="34"/>
      <c r="Q12" s="46" t="s">
        <v>39</v>
      </c>
      <c r="R12" s="37">
        <f>COUNTIF(J11:J49,"Partial")</f>
        <v>2</v>
      </c>
      <c r="S12" s="34"/>
      <c r="T12" s="44" t="s">
        <v>2</v>
      </c>
      <c r="U12" s="40">
        <f>COUNTIF(I12:I49,"No")</f>
        <v>1</v>
      </c>
      <c r="V12" s="45"/>
      <c r="W12" s="45"/>
      <c r="X12" s="35">
        <f>COUNTIF(L11:L49,"Closed")</f>
        <v>1</v>
      </c>
      <c r="Y12" s="3" t="s">
        <v>7</v>
      </c>
      <c r="Z12" s="3"/>
    </row>
    <row r="13" spans="1:28" ht="30" customHeight="1" x14ac:dyDescent="0.35">
      <c r="B13" s="16">
        <v>3</v>
      </c>
      <c r="C13" s="16" t="s">
        <v>32</v>
      </c>
      <c r="D13" s="16"/>
      <c r="E13" s="30" t="s">
        <v>35</v>
      </c>
      <c r="F13" s="17">
        <v>4</v>
      </c>
      <c r="G13" s="17"/>
      <c r="H13" s="54">
        <v>2</v>
      </c>
      <c r="I13" s="49" t="s">
        <v>4</v>
      </c>
      <c r="J13" s="16" t="s">
        <v>40</v>
      </c>
      <c r="K13" s="16" t="s">
        <v>61</v>
      </c>
      <c r="L13" s="16" t="s">
        <v>63</v>
      </c>
      <c r="M13" s="31"/>
      <c r="N13" s="34"/>
      <c r="O13" s="34"/>
      <c r="P13" s="34"/>
      <c r="Q13" s="46" t="s">
        <v>40</v>
      </c>
      <c r="R13" s="37">
        <f>COUNTIF(J11:J49,"Completed")</f>
        <v>2</v>
      </c>
      <c r="S13" s="34"/>
      <c r="T13" s="34"/>
      <c r="U13" s="3"/>
      <c r="V13" s="3"/>
      <c r="W13" s="3"/>
      <c r="X13" s="35">
        <f>COUNTIF(L11:L49,"Not Start")</f>
        <v>3</v>
      </c>
      <c r="Y13" s="3" t="s">
        <v>3</v>
      </c>
      <c r="Z13" s="3"/>
    </row>
    <row r="14" spans="1:28" ht="30" customHeight="1" x14ac:dyDescent="0.35">
      <c r="B14" s="16">
        <v>4</v>
      </c>
      <c r="C14" s="16" t="s">
        <v>44</v>
      </c>
      <c r="D14" s="16"/>
      <c r="E14" s="30" t="s">
        <v>48</v>
      </c>
      <c r="F14" s="17">
        <v>4</v>
      </c>
      <c r="G14" s="17"/>
      <c r="H14" s="54">
        <v>3</v>
      </c>
      <c r="I14" s="49" t="s">
        <v>2</v>
      </c>
      <c r="J14" s="16" t="s">
        <v>41</v>
      </c>
      <c r="K14" s="16" t="s">
        <v>1</v>
      </c>
      <c r="L14" s="16" t="s">
        <v>62</v>
      </c>
      <c r="M14" s="31"/>
      <c r="N14" s="34"/>
      <c r="O14" s="34"/>
      <c r="P14" s="34"/>
      <c r="Q14" s="34"/>
      <c r="R14" s="34"/>
      <c r="S14" s="34"/>
      <c r="T14" s="34"/>
      <c r="X14" s="35">
        <f>COUNTIF(L11:L49,"Converted to Customer")</f>
        <v>0</v>
      </c>
      <c r="Y14" s="3" t="s">
        <v>6</v>
      </c>
      <c r="Z14" s="3"/>
    </row>
    <row r="15" spans="1:28" ht="30" customHeight="1" x14ac:dyDescent="0.35">
      <c r="B15" s="16">
        <v>5</v>
      </c>
      <c r="C15" s="16" t="s">
        <v>46</v>
      </c>
      <c r="D15" s="16"/>
      <c r="E15" s="30" t="s">
        <v>47</v>
      </c>
      <c r="F15" s="17">
        <v>4</v>
      </c>
      <c r="G15" s="17"/>
      <c r="H15" s="54">
        <v>1</v>
      </c>
      <c r="I15" s="49" t="s">
        <v>4</v>
      </c>
      <c r="J15" s="16" t="s">
        <v>40</v>
      </c>
      <c r="K15" s="16" t="s">
        <v>61</v>
      </c>
      <c r="L15" s="16" t="s">
        <v>62</v>
      </c>
      <c r="M15" s="31"/>
      <c r="N15" s="34"/>
      <c r="O15" s="34"/>
      <c r="P15" s="34"/>
      <c r="Q15" s="34"/>
      <c r="R15" s="34"/>
      <c r="S15" s="34"/>
      <c r="T15" s="34"/>
      <c r="X15" s="35">
        <f>COUNTIF(L11:L49,"Set Up Meeting")</f>
        <v>0</v>
      </c>
      <c r="Y15" s="3" t="s">
        <v>5</v>
      </c>
      <c r="Z15" s="3"/>
    </row>
    <row r="16" spans="1:28" ht="30" customHeight="1" x14ac:dyDescent="0.35">
      <c r="B16" s="16">
        <v>6</v>
      </c>
      <c r="C16" s="16" t="s">
        <v>69</v>
      </c>
      <c r="D16" s="16"/>
      <c r="E16" s="30" t="s">
        <v>66</v>
      </c>
      <c r="F16" s="17"/>
      <c r="G16" s="17"/>
      <c r="H16" s="54"/>
      <c r="I16" s="49"/>
      <c r="J16" s="16"/>
      <c r="K16" s="16"/>
      <c r="L16" s="16" t="s">
        <v>64</v>
      </c>
      <c r="M16" s="31"/>
      <c r="N16" s="34"/>
      <c r="O16" s="34"/>
      <c r="P16" s="34"/>
      <c r="Q16" s="34"/>
      <c r="R16" s="34"/>
      <c r="S16" s="34"/>
      <c r="T16" s="34"/>
      <c r="X16" s="35">
        <f>COUNTIF(L11:L49,"Contact Again in Future")</f>
        <v>0</v>
      </c>
      <c r="Y16" s="3" t="s">
        <v>1</v>
      </c>
      <c r="Z16" s="3"/>
    </row>
    <row r="17" spans="2:26" ht="30" customHeight="1" x14ac:dyDescent="0.35">
      <c r="B17" s="16">
        <v>7</v>
      </c>
      <c r="C17" s="16" t="s">
        <v>70</v>
      </c>
      <c r="D17" s="16"/>
      <c r="E17" s="30" t="s">
        <v>67</v>
      </c>
      <c r="F17" s="17"/>
      <c r="G17" s="17"/>
      <c r="H17" s="54"/>
      <c r="I17" s="49"/>
      <c r="J17" s="16"/>
      <c r="K17" s="16"/>
      <c r="L17" s="16" t="s">
        <v>64</v>
      </c>
      <c r="M17" s="31"/>
      <c r="N17" s="34"/>
      <c r="O17" s="34"/>
      <c r="P17" s="34"/>
      <c r="Q17" s="34"/>
      <c r="R17" s="34"/>
      <c r="S17" s="34"/>
      <c r="T17" s="34"/>
      <c r="X17" s="35">
        <f>COUNTIF(L11:L49,"Did not Convert to Customer")</f>
        <v>0</v>
      </c>
      <c r="Y17" s="3" t="s">
        <v>0</v>
      </c>
      <c r="Z17" s="3"/>
    </row>
    <row r="18" spans="2:26" ht="30" customHeight="1" x14ac:dyDescent="0.35">
      <c r="B18" s="16">
        <v>8</v>
      </c>
      <c r="C18" s="16" t="s">
        <v>71</v>
      </c>
      <c r="D18" s="16"/>
      <c r="E18" s="30" t="s">
        <v>68</v>
      </c>
      <c r="F18" s="17"/>
      <c r="G18" s="17"/>
      <c r="H18" s="54"/>
      <c r="I18" s="49"/>
      <c r="J18" s="16"/>
      <c r="K18" s="16"/>
      <c r="L18" s="16" t="s">
        <v>64</v>
      </c>
      <c r="M18" s="31"/>
      <c r="N18" s="34"/>
      <c r="O18" s="34"/>
      <c r="P18" s="34"/>
      <c r="Q18" s="34"/>
      <c r="R18" s="34"/>
      <c r="S18" s="34"/>
      <c r="T18" s="34"/>
      <c r="X18" s="36"/>
    </row>
    <row r="19" spans="2:26" ht="30" customHeight="1" x14ac:dyDescent="0.35">
      <c r="B19" s="16"/>
      <c r="C19" s="16"/>
      <c r="D19" s="16"/>
      <c r="E19" s="30"/>
      <c r="F19" s="17"/>
      <c r="G19" s="17"/>
      <c r="H19" s="54"/>
      <c r="I19" s="49"/>
      <c r="J19" s="16"/>
      <c r="K19" s="16"/>
      <c r="L19" s="16"/>
      <c r="M19" s="31"/>
      <c r="N19" s="34"/>
      <c r="O19" s="34"/>
      <c r="P19" s="34"/>
      <c r="Q19" s="34"/>
      <c r="R19" s="34"/>
      <c r="S19" s="34"/>
      <c r="T19" s="34"/>
    </row>
    <row r="20" spans="2:26" ht="30" customHeight="1" x14ac:dyDescent="0.35">
      <c r="B20" s="16"/>
      <c r="C20" s="16"/>
      <c r="D20" s="16"/>
      <c r="E20" s="30"/>
      <c r="F20" s="17"/>
      <c r="G20" s="17"/>
      <c r="H20" s="54"/>
      <c r="I20" s="49"/>
      <c r="J20" s="16"/>
      <c r="K20" s="16"/>
      <c r="L20" s="16"/>
      <c r="M20" s="31"/>
      <c r="N20" s="34"/>
      <c r="O20" s="34"/>
      <c r="P20" s="34"/>
      <c r="Q20" s="34"/>
      <c r="R20" s="34"/>
      <c r="S20" s="34"/>
      <c r="T20" s="34"/>
    </row>
    <row r="21" spans="2:26" ht="30" customHeight="1" x14ac:dyDescent="0.35">
      <c r="B21" s="16"/>
      <c r="C21" s="16"/>
      <c r="D21" s="16"/>
      <c r="E21" s="30"/>
      <c r="F21" s="17"/>
      <c r="G21" s="17"/>
      <c r="H21" s="54"/>
      <c r="I21" s="49"/>
      <c r="J21" s="16"/>
      <c r="K21" s="16"/>
      <c r="L21" s="16"/>
      <c r="M21" s="31"/>
      <c r="N21" s="34"/>
      <c r="O21" s="34"/>
      <c r="P21" s="34"/>
      <c r="Q21" s="34"/>
      <c r="R21" s="34"/>
      <c r="S21" s="34"/>
      <c r="T21" s="34"/>
    </row>
    <row r="22" spans="2:26" ht="30" customHeight="1" x14ac:dyDescent="0.35">
      <c r="B22" s="16"/>
      <c r="C22" s="16"/>
      <c r="D22" s="16"/>
      <c r="E22" s="30"/>
      <c r="F22" s="17"/>
      <c r="G22" s="17"/>
      <c r="H22" s="54"/>
      <c r="I22" s="49"/>
      <c r="J22" s="16"/>
      <c r="K22" s="16"/>
      <c r="L22" s="16"/>
      <c r="M22" s="31"/>
      <c r="N22" s="34"/>
      <c r="O22" s="34"/>
      <c r="P22" s="34"/>
      <c r="Q22" s="34"/>
      <c r="R22" s="34"/>
      <c r="S22" s="34"/>
      <c r="T22" s="34"/>
    </row>
    <row r="23" spans="2:26" ht="30" customHeight="1" x14ac:dyDescent="0.35">
      <c r="B23" s="16"/>
      <c r="C23" s="16"/>
      <c r="D23" s="16"/>
      <c r="E23" s="30"/>
      <c r="F23" s="17"/>
      <c r="G23" s="17"/>
      <c r="H23" s="54"/>
      <c r="I23" s="49"/>
      <c r="J23" s="16"/>
      <c r="K23" s="16"/>
      <c r="L23" s="16"/>
      <c r="M23" s="31"/>
      <c r="N23" s="34"/>
      <c r="O23" s="34"/>
      <c r="P23" s="34"/>
      <c r="Q23" s="34"/>
      <c r="R23" s="34"/>
      <c r="S23" s="34"/>
      <c r="T23" s="34"/>
    </row>
    <row r="24" spans="2:26" ht="30" customHeight="1" x14ac:dyDescent="0.35">
      <c r="B24" s="16"/>
      <c r="C24" s="16"/>
      <c r="D24" s="16"/>
      <c r="E24" s="30"/>
      <c r="F24" s="17"/>
      <c r="G24" s="17"/>
      <c r="H24" s="54"/>
      <c r="I24" s="49"/>
      <c r="J24" s="16"/>
      <c r="K24" s="16"/>
      <c r="L24" s="16"/>
      <c r="M24" s="31"/>
      <c r="N24" s="34"/>
      <c r="O24" s="34"/>
      <c r="P24" s="34"/>
      <c r="Q24" s="34"/>
      <c r="R24" s="34"/>
      <c r="S24" s="34"/>
      <c r="T24" s="34"/>
    </row>
    <row r="25" spans="2:26" ht="30" customHeight="1" x14ac:dyDescent="0.35">
      <c r="B25" s="16"/>
      <c r="C25" s="16"/>
      <c r="D25" s="16"/>
      <c r="E25" s="30"/>
      <c r="F25" s="17"/>
      <c r="G25" s="17"/>
      <c r="H25" s="54"/>
      <c r="I25" s="49"/>
      <c r="J25" s="16"/>
      <c r="K25" s="16"/>
      <c r="L25" s="16"/>
      <c r="M25" s="31"/>
      <c r="N25" s="34"/>
      <c r="O25" s="34"/>
      <c r="P25" s="34"/>
      <c r="Q25" s="34"/>
      <c r="R25" s="34"/>
      <c r="S25" s="34"/>
      <c r="T25" s="34"/>
    </row>
    <row r="26" spans="2:26" ht="30" customHeight="1" x14ac:dyDescent="0.35">
      <c r="B26" s="16"/>
      <c r="C26" s="16"/>
      <c r="D26" s="16"/>
      <c r="E26" s="30"/>
      <c r="F26" s="17"/>
      <c r="G26" s="17"/>
      <c r="H26" s="54"/>
      <c r="I26" s="49"/>
      <c r="J26" s="16"/>
      <c r="K26" s="16"/>
      <c r="L26" s="16"/>
      <c r="M26" s="31"/>
      <c r="N26" s="34"/>
      <c r="O26" s="34"/>
      <c r="P26" s="34"/>
      <c r="Q26" s="34"/>
      <c r="R26" s="34"/>
      <c r="S26" s="34"/>
      <c r="T26" s="34"/>
    </row>
    <row r="27" spans="2:26" ht="30" customHeight="1" x14ac:dyDescent="0.35">
      <c r="B27" s="16"/>
      <c r="C27" s="16"/>
      <c r="D27" s="16"/>
      <c r="E27" s="30"/>
      <c r="F27" s="17"/>
      <c r="G27" s="17"/>
      <c r="H27" s="54"/>
      <c r="I27" s="49"/>
      <c r="J27" s="16"/>
      <c r="K27" s="16"/>
      <c r="L27" s="16"/>
      <c r="M27" s="31"/>
      <c r="N27" s="34"/>
      <c r="O27" s="34"/>
      <c r="P27" s="34"/>
      <c r="Q27" s="34"/>
      <c r="R27" s="34"/>
      <c r="S27" s="34"/>
      <c r="T27" s="34"/>
    </row>
    <row r="28" spans="2:26" ht="30" customHeight="1" x14ac:dyDescent="0.35">
      <c r="B28" s="16"/>
      <c r="C28" s="16"/>
      <c r="D28" s="16"/>
      <c r="E28" s="30"/>
      <c r="F28" s="17"/>
      <c r="G28" s="17"/>
      <c r="H28" s="54"/>
      <c r="I28" s="49"/>
      <c r="J28" s="16"/>
      <c r="K28" s="16"/>
      <c r="L28" s="16"/>
      <c r="M28" s="31"/>
      <c r="N28" s="34"/>
      <c r="O28" s="34"/>
      <c r="P28" s="34"/>
      <c r="Q28" s="34"/>
      <c r="R28" s="34"/>
      <c r="S28" s="34"/>
      <c r="T28" s="34"/>
    </row>
    <row r="29" spans="2:26" ht="30" customHeight="1" x14ac:dyDescent="0.35">
      <c r="B29" s="16"/>
      <c r="C29" s="16"/>
      <c r="D29" s="16"/>
      <c r="E29" s="30"/>
      <c r="F29" s="17"/>
      <c r="G29" s="17"/>
      <c r="H29" s="54"/>
      <c r="I29" s="49"/>
      <c r="J29" s="16"/>
      <c r="K29" s="16"/>
      <c r="L29" s="16"/>
      <c r="M29" s="31"/>
      <c r="N29" s="34"/>
      <c r="O29" s="34"/>
      <c r="P29" s="34"/>
      <c r="Q29" s="34"/>
      <c r="R29" s="34"/>
      <c r="S29" s="34"/>
      <c r="T29" s="34"/>
    </row>
    <row r="30" spans="2:26" ht="30" customHeight="1" x14ac:dyDescent="0.35">
      <c r="B30" s="16"/>
      <c r="C30" s="16"/>
      <c r="D30" s="16"/>
      <c r="E30" s="30"/>
      <c r="F30" s="17"/>
      <c r="G30" s="17"/>
      <c r="H30" s="54"/>
      <c r="I30" s="49"/>
      <c r="J30" s="16"/>
      <c r="K30" s="16"/>
      <c r="L30" s="16"/>
      <c r="M30" s="31"/>
      <c r="N30" s="34"/>
      <c r="O30" s="34"/>
      <c r="P30" s="34"/>
      <c r="Q30" s="34"/>
      <c r="R30" s="34"/>
      <c r="S30" s="34"/>
      <c r="T30" s="34"/>
    </row>
    <row r="31" spans="2:26" ht="30" customHeight="1" x14ac:dyDescent="0.35">
      <c r="B31" s="16"/>
      <c r="C31" s="16"/>
      <c r="D31" s="16"/>
      <c r="E31" s="30"/>
      <c r="F31" s="17"/>
      <c r="G31" s="17"/>
      <c r="H31" s="54"/>
      <c r="I31" s="49"/>
      <c r="J31" s="16"/>
      <c r="K31" s="16"/>
      <c r="L31" s="16"/>
      <c r="M31" s="31"/>
      <c r="N31" s="34"/>
      <c r="O31" s="34"/>
      <c r="P31" s="34"/>
      <c r="Q31" s="34"/>
      <c r="R31" s="34"/>
      <c r="S31" s="34"/>
      <c r="T31" s="34"/>
    </row>
    <row r="32" spans="2:26" ht="30" customHeight="1" x14ac:dyDescent="0.35">
      <c r="B32" s="16"/>
      <c r="C32" s="16"/>
      <c r="D32" s="16"/>
      <c r="E32" s="30"/>
      <c r="F32" s="17"/>
      <c r="G32" s="17"/>
      <c r="H32" s="54"/>
      <c r="I32" s="49"/>
      <c r="J32" s="16"/>
      <c r="K32" s="16"/>
      <c r="L32" s="16"/>
      <c r="M32" s="31"/>
      <c r="N32" s="34"/>
      <c r="O32" s="34"/>
      <c r="P32" s="34"/>
      <c r="Q32" s="34"/>
      <c r="R32" s="34"/>
      <c r="S32" s="34"/>
      <c r="T32" s="34"/>
    </row>
    <row r="33" spans="2:20" ht="30" customHeight="1" x14ac:dyDescent="0.35">
      <c r="B33" s="16"/>
      <c r="C33" s="16"/>
      <c r="D33" s="16"/>
      <c r="E33" s="30"/>
      <c r="F33" s="17"/>
      <c r="G33" s="17"/>
      <c r="H33" s="54"/>
      <c r="I33" s="49"/>
      <c r="J33" s="16"/>
      <c r="K33" s="16"/>
      <c r="L33" s="16"/>
      <c r="M33" s="31"/>
      <c r="N33" s="34"/>
      <c r="O33" s="34"/>
      <c r="P33" s="34"/>
      <c r="Q33" s="34"/>
      <c r="R33" s="34"/>
      <c r="S33" s="34"/>
      <c r="T33" s="34"/>
    </row>
    <row r="34" spans="2:20" ht="30" customHeight="1" x14ac:dyDescent="0.35">
      <c r="B34" s="16"/>
      <c r="C34" s="16"/>
      <c r="D34" s="16"/>
      <c r="E34" s="30"/>
      <c r="F34" s="17"/>
      <c r="G34" s="17"/>
      <c r="H34" s="54"/>
      <c r="I34" s="49"/>
      <c r="J34" s="16"/>
      <c r="K34" s="16"/>
      <c r="L34" s="16"/>
      <c r="M34" s="31"/>
      <c r="N34" s="34"/>
      <c r="O34" s="34"/>
      <c r="P34" s="34"/>
      <c r="Q34" s="34"/>
      <c r="R34" s="34"/>
      <c r="S34" s="34"/>
      <c r="T34" s="34"/>
    </row>
    <row r="35" spans="2:20" ht="30" customHeight="1" x14ac:dyDescent="0.35">
      <c r="B35" s="16"/>
      <c r="C35" s="16"/>
      <c r="D35" s="16"/>
      <c r="E35" s="30"/>
      <c r="F35" s="17"/>
      <c r="G35" s="17"/>
      <c r="H35" s="54"/>
      <c r="I35" s="49"/>
      <c r="J35" s="16"/>
      <c r="K35" s="16"/>
      <c r="L35" s="16"/>
      <c r="M35" s="31"/>
      <c r="N35" s="34"/>
      <c r="O35" s="34"/>
      <c r="P35" s="34"/>
      <c r="Q35" s="34"/>
      <c r="R35" s="34"/>
      <c r="S35" s="34"/>
      <c r="T35" s="34"/>
    </row>
    <row r="36" spans="2:20" ht="30" customHeight="1" x14ac:dyDescent="0.35">
      <c r="B36" s="16"/>
      <c r="C36" s="16"/>
      <c r="D36" s="16"/>
      <c r="E36" s="30"/>
      <c r="F36" s="17"/>
      <c r="G36" s="17"/>
      <c r="H36" s="54"/>
      <c r="I36" s="49"/>
      <c r="J36" s="16"/>
      <c r="K36" s="16"/>
      <c r="L36" s="16"/>
      <c r="M36" s="31"/>
      <c r="N36" s="34"/>
      <c r="O36" s="34"/>
      <c r="P36" s="34"/>
      <c r="Q36" s="34"/>
      <c r="R36" s="34"/>
      <c r="S36" s="34"/>
      <c r="T36" s="34"/>
    </row>
    <row r="37" spans="2:20" ht="30" customHeight="1" x14ac:dyDescent="0.35">
      <c r="B37" s="16"/>
      <c r="C37" s="16"/>
      <c r="D37" s="16"/>
      <c r="E37" s="30"/>
      <c r="F37" s="17"/>
      <c r="G37" s="17"/>
      <c r="H37" s="54"/>
      <c r="I37" s="49"/>
      <c r="J37" s="16"/>
      <c r="K37" s="16"/>
      <c r="L37" s="16"/>
      <c r="M37" s="31"/>
      <c r="N37" s="34"/>
      <c r="O37" s="34"/>
      <c r="P37" s="34"/>
      <c r="Q37" s="34"/>
      <c r="R37" s="34"/>
      <c r="S37" s="34"/>
      <c r="T37" s="34"/>
    </row>
    <row r="38" spans="2:20" ht="30" customHeight="1" x14ac:dyDescent="0.35">
      <c r="B38" s="16"/>
      <c r="C38" s="16"/>
      <c r="D38" s="16"/>
      <c r="E38" s="30"/>
      <c r="F38" s="17"/>
      <c r="G38" s="17"/>
      <c r="H38" s="54"/>
      <c r="I38" s="49"/>
      <c r="J38" s="16"/>
      <c r="K38" s="16"/>
      <c r="L38" s="16"/>
      <c r="M38" s="31"/>
      <c r="N38" s="34"/>
      <c r="O38" s="34"/>
      <c r="P38" s="34"/>
      <c r="Q38" s="34"/>
      <c r="R38" s="34"/>
      <c r="S38" s="34"/>
      <c r="T38" s="34"/>
    </row>
    <row r="39" spans="2:20" ht="30" customHeight="1" x14ac:dyDescent="0.35">
      <c r="B39" s="16"/>
      <c r="C39" s="16"/>
      <c r="D39" s="16"/>
      <c r="E39" s="30"/>
      <c r="F39" s="17"/>
      <c r="G39" s="17"/>
      <c r="H39" s="54"/>
      <c r="I39" s="49"/>
      <c r="J39" s="16"/>
      <c r="K39" s="16"/>
      <c r="L39" s="16"/>
      <c r="M39" s="31"/>
      <c r="N39" s="34"/>
      <c r="O39" s="34"/>
      <c r="P39" s="34"/>
      <c r="Q39" s="34"/>
      <c r="R39" s="34"/>
      <c r="S39" s="34"/>
      <c r="T39" s="34"/>
    </row>
    <row r="40" spans="2:20" ht="30" customHeight="1" x14ac:dyDescent="0.35">
      <c r="B40" s="16"/>
      <c r="C40" s="16"/>
      <c r="D40" s="16"/>
      <c r="E40" s="30"/>
      <c r="F40" s="17"/>
      <c r="G40" s="17"/>
      <c r="H40" s="54"/>
      <c r="I40" s="49"/>
      <c r="J40" s="16"/>
      <c r="K40" s="16"/>
      <c r="L40" s="16"/>
      <c r="M40" s="31"/>
      <c r="N40" s="34"/>
      <c r="O40" s="34"/>
      <c r="P40" s="34"/>
      <c r="Q40" s="34"/>
      <c r="R40" s="34"/>
      <c r="S40" s="34"/>
      <c r="T40" s="34"/>
    </row>
    <row r="41" spans="2:20" ht="30" customHeight="1" x14ac:dyDescent="0.35">
      <c r="B41" s="16"/>
      <c r="C41" s="16"/>
      <c r="D41" s="16"/>
      <c r="E41" s="30"/>
      <c r="F41" s="17"/>
      <c r="G41" s="17"/>
      <c r="H41" s="54"/>
      <c r="I41" s="49"/>
      <c r="J41" s="16"/>
      <c r="K41" s="16"/>
      <c r="L41" s="16"/>
      <c r="M41" s="31"/>
      <c r="N41" s="34"/>
      <c r="O41" s="34"/>
      <c r="P41" s="34"/>
      <c r="Q41" s="34"/>
      <c r="R41" s="34"/>
      <c r="S41" s="34"/>
      <c r="T41" s="34"/>
    </row>
    <row r="42" spans="2:20" ht="30" customHeight="1" x14ac:dyDescent="0.35">
      <c r="B42" s="16"/>
      <c r="C42" s="16"/>
      <c r="D42" s="16"/>
      <c r="E42" s="30"/>
      <c r="F42" s="17"/>
      <c r="G42" s="17"/>
      <c r="H42" s="54"/>
      <c r="I42" s="49"/>
      <c r="J42" s="16"/>
      <c r="K42" s="16"/>
      <c r="L42" s="16"/>
      <c r="M42" s="31"/>
      <c r="N42" s="34"/>
      <c r="O42" s="34"/>
      <c r="P42" s="34"/>
      <c r="Q42" s="34"/>
      <c r="R42" s="34"/>
      <c r="S42" s="34"/>
      <c r="T42" s="34"/>
    </row>
    <row r="43" spans="2:20" ht="30" customHeight="1" x14ac:dyDescent="0.35">
      <c r="B43" s="16"/>
      <c r="C43" s="16"/>
      <c r="D43" s="16"/>
      <c r="E43" s="30"/>
      <c r="F43" s="17"/>
      <c r="G43" s="17"/>
      <c r="H43" s="54"/>
      <c r="I43" s="49"/>
      <c r="J43" s="16"/>
      <c r="K43" s="16"/>
      <c r="L43" s="16"/>
      <c r="M43" s="31"/>
      <c r="N43" s="34"/>
      <c r="O43" s="34"/>
      <c r="P43" s="34"/>
      <c r="Q43" s="34"/>
      <c r="R43" s="34"/>
      <c r="S43" s="34"/>
      <c r="T43" s="34"/>
    </row>
    <row r="44" spans="2:20" ht="30" customHeight="1" x14ac:dyDescent="0.35">
      <c r="B44" s="16"/>
      <c r="C44" s="16"/>
      <c r="D44" s="16"/>
      <c r="E44" s="30"/>
      <c r="F44" s="17"/>
      <c r="G44" s="17"/>
      <c r="H44" s="54"/>
      <c r="I44" s="49"/>
      <c r="J44" s="16"/>
      <c r="K44" s="16"/>
      <c r="L44" s="16"/>
      <c r="M44" s="31"/>
      <c r="N44" s="34"/>
      <c r="O44" s="34"/>
      <c r="P44" s="34"/>
      <c r="Q44" s="34"/>
      <c r="R44" s="34"/>
      <c r="S44" s="34"/>
      <c r="T44" s="34"/>
    </row>
    <row r="45" spans="2:20" ht="30" customHeight="1" x14ac:dyDescent="0.35">
      <c r="B45" s="16"/>
      <c r="C45" s="16"/>
      <c r="D45" s="16"/>
      <c r="E45" s="30"/>
      <c r="F45" s="17"/>
      <c r="G45" s="17"/>
      <c r="H45" s="54"/>
      <c r="I45" s="49"/>
      <c r="J45" s="16"/>
      <c r="K45" s="16"/>
      <c r="L45" s="16"/>
      <c r="M45" s="31"/>
      <c r="N45" s="34"/>
      <c r="O45" s="34"/>
      <c r="P45" s="34"/>
      <c r="Q45" s="34"/>
      <c r="R45" s="34"/>
      <c r="S45" s="34"/>
      <c r="T45" s="34"/>
    </row>
    <row r="46" spans="2:20" ht="30" customHeight="1" x14ac:dyDescent="0.35">
      <c r="B46" s="16"/>
      <c r="C46" s="16"/>
      <c r="D46" s="16"/>
      <c r="E46" s="30"/>
      <c r="F46" s="17"/>
      <c r="G46" s="17"/>
      <c r="H46" s="54"/>
      <c r="I46" s="49"/>
      <c r="J46" s="16"/>
      <c r="K46" s="16"/>
      <c r="L46" s="16"/>
      <c r="M46" s="31"/>
      <c r="N46" s="34"/>
      <c r="O46" s="34"/>
      <c r="P46" s="34"/>
      <c r="Q46" s="34"/>
      <c r="R46" s="34"/>
      <c r="S46" s="34"/>
      <c r="T46" s="34"/>
    </row>
    <row r="47" spans="2:20" ht="30" customHeight="1" x14ac:dyDescent="0.35">
      <c r="B47" s="16"/>
      <c r="C47" s="16"/>
      <c r="D47" s="16"/>
      <c r="E47" s="30"/>
      <c r="F47" s="17"/>
      <c r="G47" s="17"/>
      <c r="H47" s="54"/>
      <c r="I47" s="49"/>
      <c r="J47" s="16"/>
      <c r="K47" s="16"/>
      <c r="L47" s="16"/>
      <c r="M47" s="31"/>
      <c r="N47" s="34"/>
      <c r="O47" s="34"/>
      <c r="P47" s="34"/>
      <c r="Q47" s="34"/>
      <c r="R47" s="34"/>
      <c r="S47" s="34"/>
      <c r="T47" s="34"/>
    </row>
    <row r="48" spans="2:20" ht="30" customHeight="1" x14ac:dyDescent="0.35">
      <c r="B48" s="16"/>
      <c r="C48" s="16"/>
      <c r="D48" s="16"/>
      <c r="E48" s="30"/>
      <c r="F48" s="17"/>
      <c r="G48" s="17"/>
      <c r="H48" s="54"/>
      <c r="I48" s="49"/>
      <c r="J48" s="16"/>
      <c r="K48" s="16"/>
      <c r="L48" s="16"/>
      <c r="M48" s="31"/>
      <c r="N48" s="34"/>
      <c r="O48" s="34"/>
      <c r="P48" s="34"/>
      <c r="Q48" s="34"/>
      <c r="R48" s="34"/>
      <c r="S48" s="34"/>
      <c r="T48" s="34"/>
    </row>
    <row r="49" spans="2:20" ht="30" customHeight="1" x14ac:dyDescent="0.35">
      <c r="B49" s="16"/>
      <c r="C49" s="16"/>
      <c r="D49" s="16"/>
      <c r="E49" s="30"/>
      <c r="F49" s="17"/>
      <c r="G49" s="17"/>
      <c r="H49" s="54"/>
      <c r="I49" s="49"/>
      <c r="J49" s="16"/>
      <c r="K49" s="16"/>
      <c r="L49" s="16"/>
      <c r="M49" s="31"/>
      <c r="N49" s="34"/>
      <c r="O49" s="34"/>
      <c r="P49" s="34"/>
      <c r="Q49" s="34"/>
      <c r="R49" s="34"/>
      <c r="S49" s="34"/>
      <c r="T49" s="34"/>
    </row>
  </sheetData>
  <autoFilter ref="I10:L49" xr:uid="{42B7B110-35FC-4CDB-8235-19F7091BEAC1}"/>
  <mergeCells count="3">
    <mergeCell ref="T10:U10"/>
    <mergeCell ref="Q10:R10"/>
    <mergeCell ref="B2:F3"/>
  </mergeCells>
  <conditionalFormatting sqref="I11:I49">
    <cfRule type="cellIs" dxfId="10" priority="24" operator="equal">
      <formula>"No"</formula>
    </cfRule>
    <cfRule type="cellIs" dxfId="9" priority="25" operator="equal">
      <formula>"Yes"</formula>
    </cfRule>
  </conditionalFormatting>
  <conditionalFormatting sqref="J11:J49">
    <cfRule type="cellIs" dxfId="8" priority="7" operator="equal">
      <formula>"Empty"</formula>
    </cfRule>
    <cfRule type="cellIs" dxfId="7" priority="8" operator="equal">
      <formula>"Partial"</formula>
    </cfRule>
    <cfRule type="cellIs" dxfId="6" priority="9" operator="equal">
      <formula>"Completed"</formula>
    </cfRule>
  </conditionalFormatting>
  <conditionalFormatting sqref="L11:L17">
    <cfRule type="cellIs" dxfId="5" priority="6" operator="equal">
      <formula>"Follow Up"</formula>
    </cfRule>
  </conditionalFormatting>
  <conditionalFormatting sqref="K11:K35">
    <cfRule type="cellIs" dxfId="4" priority="5" operator="equal">
      <formula>"Create task"</formula>
    </cfRule>
  </conditionalFormatting>
  <conditionalFormatting sqref="K11:K42">
    <cfRule type="cellIs" dxfId="3" priority="4" operator="equal">
      <formula>"Schedule Meeting"</formula>
    </cfRule>
  </conditionalFormatting>
  <conditionalFormatting sqref="K11:K49">
    <cfRule type="cellIs" dxfId="2" priority="1" operator="equal">
      <formula>"Others"</formula>
    </cfRule>
    <cfRule type="cellIs" dxfId="1" priority="2" operator="equal">
      <formula>"Send email"</formula>
    </cfRule>
    <cfRule type="cellIs" dxfId="0" priority="3" operator="equal">
      <formula>"Update Proposal"</formula>
    </cfRule>
  </conditionalFormatting>
  <pageMargins left="0.1" right="0.1" top="0.25" bottom="0.25" header="0" footer="0"/>
  <pageSetup scale="41" orientation="landscape" r:id="rId1"/>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C986683A-7542-42D2-8B3C-9EF5489C2A5D}">
          <x14:formula1>
            <xm:f>Config!$C$4:$C$5</xm:f>
          </x14:formula1>
          <xm:sqref>I11:I49</xm:sqref>
        </x14:dataValidation>
        <x14:dataValidation type="list" allowBlank="1" showInputMessage="1" showErrorMessage="1" xr:uid="{0AE54059-6533-4E79-8601-F6668A6B00A4}">
          <x14:formula1>
            <xm:f>Config!$C$13:$C$18</xm:f>
          </x14:formula1>
          <xm:sqref>K11:K49</xm:sqref>
        </x14:dataValidation>
        <x14:dataValidation type="list" allowBlank="1" showInputMessage="1" showErrorMessage="1" xr:uid="{640D2279-E61A-49FE-9BFA-79DC6E5E5118}">
          <x14:formula1>
            <xm:f>Config!$C$21:$C$23</xm:f>
          </x14:formula1>
          <xm:sqref>J11:J49</xm:sqref>
        </x14:dataValidation>
        <x14:dataValidation type="list" allowBlank="1" showInputMessage="1" showErrorMessage="1" xr:uid="{AF474E8A-7BEC-4C6A-BD04-4174AE5DE26B}">
          <x14:formula1>
            <xm:f>Config!$C$8:$C$10</xm:f>
          </x14:formula1>
          <xm:sqref>L11:L49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84509-933C-491A-A2D8-8647B7FD4887}">
  <dimension ref="A1:V23"/>
  <sheetViews>
    <sheetView showGridLines="0" topLeftCell="A6" zoomScale="55" zoomScaleNormal="55" workbookViewId="0">
      <selection activeCell="C15" sqref="C15"/>
    </sheetView>
  </sheetViews>
  <sheetFormatPr defaultRowHeight="25" customHeight="1" x14ac:dyDescent="0.35"/>
  <cols>
    <col min="1" max="1" width="27.453125" style="2" customWidth="1"/>
    <col min="2" max="2" width="10.7265625" style="2" customWidth="1"/>
    <col min="3" max="3" width="46.7265625" style="2" customWidth="1"/>
    <col min="4" max="4" width="15.7265625" style="2" customWidth="1"/>
    <col min="5" max="5" width="40.7265625" style="2" customWidth="1"/>
    <col min="6" max="22" width="20.7265625" style="2" customWidth="1"/>
  </cols>
  <sheetData>
    <row r="1" spans="2:5" ht="40" customHeight="1" x14ac:dyDescent="0.35">
      <c r="B1" s="29" t="s">
        <v>20</v>
      </c>
      <c r="C1" s="29"/>
    </row>
    <row r="3" spans="2:5" ht="30" customHeight="1" x14ac:dyDescent="0.35">
      <c r="B3" s="21" t="s">
        <v>25</v>
      </c>
      <c r="C3" s="21" t="s">
        <v>19</v>
      </c>
      <c r="E3" s="24" t="s">
        <v>26</v>
      </c>
    </row>
    <row r="4" spans="2:5" ht="25" customHeight="1" x14ac:dyDescent="0.35">
      <c r="B4" s="10">
        <v>1</v>
      </c>
      <c r="C4" s="22" t="s">
        <v>4</v>
      </c>
      <c r="E4" s="28" t="s">
        <v>27</v>
      </c>
    </row>
    <row r="5" spans="2:5" ht="25" customHeight="1" x14ac:dyDescent="0.35">
      <c r="B5" s="10">
        <v>2</v>
      </c>
      <c r="C5" s="22" t="s">
        <v>2</v>
      </c>
      <c r="E5" s="28"/>
    </row>
    <row r="6" spans="2:5" ht="25" customHeight="1" x14ac:dyDescent="0.35">
      <c r="C6" s="12"/>
    </row>
    <row r="7" spans="2:5" ht="30" customHeight="1" x14ac:dyDescent="0.35">
      <c r="B7" s="21" t="s">
        <v>25</v>
      </c>
      <c r="C7" s="21" t="s">
        <v>45</v>
      </c>
      <c r="E7" s="24" t="s">
        <v>26</v>
      </c>
    </row>
    <row r="8" spans="2:5" ht="25" customHeight="1" x14ac:dyDescent="0.35">
      <c r="B8" s="10">
        <v>1</v>
      </c>
      <c r="C8" s="22" t="s">
        <v>64</v>
      </c>
      <c r="E8" s="28" t="s">
        <v>28</v>
      </c>
    </row>
    <row r="9" spans="2:5" ht="25" customHeight="1" x14ac:dyDescent="0.35">
      <c r="B9" s="10">
        <v>2</v>
      </c>
      <c r="C9" s="22" t="s">
        <v>62</v>
      </c>
      <c r="E9" s="28"/>
    </row>
    <row r="10" spans="2:5" ht="25" customHeight="1" x14ac:dyDescent="0.35">
      <c r="B10" s="10">
        <v>3</v>
      </c>
      <c r="C10" s="22" t="s">
        <v>63</v>
      </c>
      <c r="E10" s="28"/>
    </row>
    <row r="12" spans="2:5" ht="30" customHeight="1" x14ac:dyDescent="0.35">
      <c r="B12" s="18" t="s">
        <v>25</v>
      </c>
      <c r="C12" s="18" t="s">
        <v>10</v>
      </c>
      <c r="E12" s="24" t="s">
        <v>26</v>
      </c>
    </row>
    <row r="13" spans="2:5" ht="25" customHeight="1" x14ac:dyDescent="0.35">
      <c r="B13" s="11">
        <v>1</v>
      </c>
      <c r="C13" s="23" t="s">
        <v>1</v>
      </c>
      <c r="E13" s="28" t="s">
        <v>29</v>
      </c>
    </row>
    <row r="14" spans="2:5" ht="25" customHeight="1" x14ac:dyDescent="0.35">
      <c r="B14" s="10">
        <v>2</v>
      </c>
      <c r="C14" s="22" t="s">
        <v>60</v>
      </c>
      <c r="E14" s="28"/>
    </row>
    <row r="15" spans="2:5" ht="25" customHeight="1" x14ac:dyDescent="0.35">
      <c r="B15" s="10">
        <v>3</v>
      </c>
      <c r="C15" s="22" t="s">
        <v>61</v>
      </c>
      <c r="E15" s="28"/>
    </row>
    <row r="16" spans="2:5" ht="25" customHeight="1" x14ac:dyDescent="0.35">
      <c r="B16" s="10">
        <v>4</v>
      </c>
      <c r="C16" s="22" t="s">
        <v>21</v>
      </c>
      <c r="E16" s="28"/>
    </row>
    <row r="17" spans="2:5" ht="25" customHeight="1" x14ac:dyDescent="0.35">
      <c r="B17" s="10">
        <v>5</v>
      </c>
      <c r="C17" s="22" t="s">
        <v>18</v>
      </c>
      <c r="E17" s="28"/>
    </row>
    <row r="18" spans="2:5" ht="25" customHeight="1" x14ac:dyDescent="0.35">
      <c r="B18" s="10">
        <v>6</v>
      </c>
      <c r="C18" s="22" t="s">
        <v>24</v>
      </c>
      <c r="E18" s="28"/>
    </row>
    <row r="19" spans="2:5" ht="25" customHeight="1" x14ac:dyDescent="0.35">
      <c r="E19" s="25"/>
    </row>
    <row r="20" spans="2:5" ht="25" customHeight="1" x14ac:dyDescent="0.35">
      <c r="B20" s="21" t="s">
        <v>25</v>
      </c>
      <c r="C20" s="21" t="s">
        <v>38</v>
      </c>
      <c r="E20" s="25"/>
    </row>
    <row r="21" spans="2:5" ht="25" customHeight="1" x14ac:dyDescent="0.35">
      <c r="B21" s="10">
        <v>1</v>
      </c>
      <c r="C21" s="22" t="s">
        <v>41</v>
      </c>
    </row>
    <row r="22" spans="2:5" ht="25" customHeight="1" x14ac:dyDescent="0.35">
      <c r="B22" s="10">
        <v>2</v>
      </c>
      <c r="C22" s="22" t="s">
        <v>39</v>
      </c>
    </row>
    <row r="23" spans="2:5" ht="25" customHeight="1" x14ac:dyDescent="0.35">
      <c r="B23" s="10">
        <v>3</v>
      </c>
      <c r="C23" s="22" t="s">
        <v>40</v>
      </c>
    </row>
  </sheetData>
  <mergeCells count="4">
    <mergeCell ref="E13:E18"/>
    <mergeCell ref="B1:C1"/>
    <mergeCell ref="E4:E5"/>
    <mergeCell ref="E8:E10"/>
  </mergeCells>
  <pageMargins left="0.25" right="0.25" top="0.25" bottom="0.25" header="0.05" footer="0"/>
  <pageSetup scale="80" orientation="portrait" r:id="rId1"/>
</worksheet>
</file>

<file path=docMetadata/LabelInfo.xml><?xml version="1.0" encoding="utf-8"?>
<clbl:labelList xmlns:clbl="http://schemas.microsoft.com/office/2020/mipLabelMetadata">
  <clbl:label id="{5fd29446-361a-45d7-a255-0c4aaf064791}" enabled="1" method="Privileged" siteId="{25671d0d-4026-4ea2-8501-5f5fedaeb4f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Daily Call Log </vt:lpstr>
      <vt:lpstr>Config</vt:lpstr>
      <vt:lpstr>Config!Print_Area</vt:lpstr>
      <vt:lpstr>'Daily Call Log '!Print_Area</vt:lpstr>
    </vt:vector>
  </TitlesOfParts>
  <Manager>Alesha Nasir</Manager>
  <Company>Wordlayouts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Daily Call Log Template</dc:title>
  <dc:creator>1811;Junaid Subhani</dc:creator>
  <cp:keywords>Call Log Template</cp:keywords>
  <dc:description>©Wordlayouts.com</dc:description>
  <cp:lastModifiedBy>Deb Bunhor</cp:lastModifiedBy>
  <cp:lastPrinted>2024-05-29T05:11:21Z</cp:lastPrinted>
  <dcterms:created xsi:type="dcterms:W3CDTF">2024-02-16T05:41:46Z</dcterms:created>
  <dcterms:modified xsi:type="dcterms:W3CDTF">2025-12-04T10:06:13Z</dcterms:modified>
</cp:coreProperties>
</file>